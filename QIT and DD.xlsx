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8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jpdear_ic_ac_uk/Documents/00_Papers/"/>
    </mc:Choice>
  </mc:AlternateContent>
  <xr:revisionPtr revIDLastSave="279" documentId="11_F25DC773A252ABDACC10489D199C408C5BDE58EF" xr6:coauthVersionLast="47" xr6:coauthVersionMax="47" xr10:uidLastSave="{DF92AA87-50EB-5441-95C0-243CD6907C2E}"/>
  <bookViews>
    <workbookView xWindow="1260" yWindow="1140" windowWidth="26840" windowHeight="156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" i="1" l="1"/>
  <c r="Q35" i="1"/>
  <c r="P35" i="1"/>
  <c r="Q18" i="1"/>
  <c r="P18" i="1"/>
  <c r="O18" i="1"/>
  <c r="Q1" i="1"/>
  <c r="P1" i="1"/>
  <c r="O35" i="1"/>
  <c r="O58" i="1"/>
  <c r="O54" i="1"/>
  <c r="Q58" i="1"/>
  <c r="O56" i="1"/>
  <c r="P58" i="1"/>
  <c r="P56" i="1"/>
  <c r="Q56" i="1"/>
  <c r="Q54" i="1"/>
  <c r="P54" i="1"/>
  <c r="J60" i="1"/>
  <c r="J59" i="1"/>
  <c r="I59" i="1"/>
  <c r="J58" i="1"/>
  <c r="I58" i="1"/>
  <c r="H58" i="1"/>
  <c r="J56" i="1"/>
  <c r="J55" i="1"/>
  <c r="I55" i="1"/>
  <c r="J54" i="1"/>
  <c r="I54" i="1"/>
  <c r="H54" i="1"/>
  <c r="J49" i="1"/>
  <c r="J48" i="1"/>
  <c r="I48" i="1"/>
  <c r="J47" i="1"/>
  <c r="I47" i="1"/>
  <c r="H47" i="1"/>
  <c r="J45" i="1"/>
  <c r="J44" i="1"/>
  <c r="I44" i="1"/>
  <c r="J43" i="1"/>
  <c r="I43" i="1"/>
  <c r="H43" i="1"/>
  <c r="J41" i="1"/>
  <c r="J40" i="1"/>
  <c r="I40" i="1"/>
  <c r="J39" i="1"/>
  <c r="I39" i="1"/>
  <c r="H39" i="1"/>
  <c r="J37" i="1"/>
  <c r="J36" i="1"/>
  <c r="I36" i="1"/>
  <c r="J35" i="1"/>
  <c r="I35" i="1"/>
  <c r="H35" i="1"/>
  <c r="J32" i="1"/>
  <c r="J31" i="1"/>
  <c r="I31" i="1"/>
  <c r="J30" i="1"/>
  <c r="I30" i="1"/>
  <c r="H30" i="1"/>
  <c r="J28" i="1"/>
  <c r="J27" i="1"/>
  <c r="I27" i="1"/>
  <c r="J26" i="1"/>
  <c r="I26" i="1"/>
  <c r="H26" i="1"/>
  <c r="J24" i="1"/>
  <c r="J23" i="1"/>
  <c r="I23" i="1"/>
  <c r="J22" i="1"/>
  <c r="I22" i="1"/>
  <c r="H22" i="1"/>
  <c r="J20" i="1"/>
  <c r="J19" i="1"/>
  <c r="I19" i="1"/>
  <c r="J18" i="1"/>
  <c r="I18" i="1"/>
  <c r="H18" i="1"/>
  <c r="J15" i="1"/>
  <c r="J14" i="1"/>
  <c r="I14" i="1"/>
  <c r="J13" i="1"/>
  <c r="I13" i="1"/>
  <c r="H13" i="1"/>
  <c r="J11" i="1"/>
  <c r="J10" i="1"/>
  <c r="I10" i="1"/>
  <c r="J9" i="1"/>
  <c r="I9" i="1"/>
  <c r="H9" i="1"/>
  <c r="J7" i="1"/>
  <c r="J6" i="1"/>
  <c r="I6" i="1"/>
  <c r="J5" i="1"/>
  <c r="I5" i="1"/>
  <c r="H5" i="1"/>
  <c r="J2" i="1"/>
  <c r="J1" i="1"/>
  <c r="J3" i="1"/>
  <c r="I1" i="1"/>
  <c r="I2" i="1"/>
  <c r="H1" i="1"/>
</calcChain>
</file>

<file path=xl/sharedStrings.xml><?xml version="1.0" encoding="utf-8"?>
<sst xmlns="http://schemas.openxmlformats.org/spreadsheetml/2006/main" count="82" uniqueCount="43">
  <si>
    <t>m</t>
  </si>
  <si>
    <t>n</t>
  </si>
  <si>
    <t>Above is theta =45</t>
  </si>
  <si>
    <t>DD 30 below</t>
  </si>
  <si>
    <t>Above is theta = 60</t>
  </si>
  <si>
    <t>DD 45 below</t>
  </si>
  <si>
    <t>16 plies</t>
  </si>
  <si>
    <t>4 plies</t>
  </si>
  <si>
    <t>Above is theta =-45</t>
  </si>
  <si>
    <t>Example 7.8 - p244 - from Matthews and Rawlings</t>
  </si>
  <si>
    <t>D13</t>
  </si>
  <si>
    <t>D11</t>
  </si>
  <si>
    <t>D12</t>
  </si>
  <si>
    <t>thick=1 mm</t>
  </si>
  <si>
    <t>8 plies</t>
  </si>
  <si>
    <t>thick=0.5 mm</t>
  </si>
  <si>
    <t>thick 0.25 mm</t>
  </si>
  <si>
    <t>thick=0.2875 mm</t>
  </si>
  <si>
    <t>D11 for QIT</t>
  </si>
  <si>
    <t>D11 for DD30</t>
  </si>
  <si>
    <t>D11 for DD45</t>
  </si>
  <si>
    <t>D16</t>
  </si>
  <si>
    <t>Above Theta = 45 degree</t>
  </si>
  <si>
    <t>Above Theta=-45</t>
  </si>
  <si>
    <t>Above Theta = 0</t>
  </si>
  <si>
    <t>Above Theta = 90</t>
  </si>
  <si>
    <t>Above is Stiffness Q matrix for QIT</t>
  </si>
  <si>
    <t>Above is rotated Q matrix by 45 degrees</t>
  </si>
  <si>
    <t>Above is rotated Q matrix by - 45 degrees</t>
  </si>
  <si>
    <t>Above Theta =30</t>
  </si>
  <si>
    <t>Above Theta=-60</t>
  </si>
  <si>
    <t>Above Theta =-30</t>
  </si>
  <si>
    <t>Above Theta =45</t>
  </si>
  <si>
    <t>Above Theta = -45</t>
  </si>
  <si>
    <t>Above Stiffness Q in Example 7.1-2</t>
  </si>
  <si>
    <t>kN mm</t>
  </si>
  <si>
    <t>Please see data-sheet below for equations.</t>
  </si>
  <si>
    <t>Yellow higlighted is calculation for QIT plate - please see details in word doc.</t>
  </si>
  <si>
    <t>Blue highlighted is calculation for DD30</t>
  </si>
  <si>
    <t>Orange highlighted is calcuation for DD45</t>
  </si>
  <si>
    <t>Above is rotated Q matrix by 0 degrees</t>
  </si>
  <si>
    <t>Above is rotated Q matrix by 90 degrees</t>
  </si>
  <si>
    <t>Above is rotated Q matrix by 30 degrees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</si>
</sst>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quotePrefix="1"/>
    <xf numFmtId="0" fontId="3" fillId="0" borderId="0" xfId="0" applyFont="1"/>
    <xf numFmtId="0" fontId="2" fillId="0" borderId="0" xfId="0" quotePrefix="1" applyFont="1"/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2" fillId="3" borderId="0" xfId="0" applyFont="1" applyFill="1"/>
    <xf numFmtId="0" fontId="0" fillId="4" borderId="0" xfId="0" applyFill="1"/>
    <xf numFmtId="0" fontId="3" fillId="4" borderId="0" xfId="0" applyFont="1" applyFill="1"/>
    <xf numFmtId="0" fontId="1" fillId="4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65</xdr:row>
      <xdr:rowOff>0</xdr:rowOff>
    </xdr:from>
    <xdr:to>
      <xdr:col>8</xdr:col>
      <xdr:colOff>139701</xdr:colOff>
      <xdr:row>85</xdr:row>
      <xdr:rowOff>69216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0E61C3-B9E9-D321-645E-A4C6796CB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1969750"/>
          <a:ext cx="5016500" cy="375221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1"/>
  <sheetViews>
    <sheetView tabSelected="1" workbookViewId="0">
      <selection activeCell="O35" sqref="O35"/>
    </sheetView>
  </sheetViews>
  <sheetFormatPr baseColWidth="10" defaultColWidth="8.83203125" defaultRowHeight="15" x14ac:dyDescent="0.2"/>
  <cols>
    <col min="15" max="15" width="10.83203125" bestFit="1" customWidth="1"/>
  </cols>
  <sheetData>
    <row r="1" spans="1:19" x14ac:dyDescent="0.2">
      <c r="A1" s="6">
        <v>115.95</v>
      </c>
      <c r="B1" s="6">
        <v>2.81</v>
      </c>
      <c r="C1" s="6">
        <v>0</v>
      </c>
      <c r="D1" s="6"/>
      <c r="E1" s="6" t="s">
        <v>0</v>
      </c>
      <c r="F1" s="6" t="s">
        <v>1</v>
      </c>
      <c r="G1" s="6"/>
      <c r="H1" s="6">
        <f>A1*E2^4+2*(B1+2*C3)*E2^2*F2^2+B2*F2^4</f>
        <v>36.058616751665468</v>
      </c>
      <c r="I1" s="6">
        <f>(A1+B2-4*C3)*E2^2*F2^2+B1*(E2^4+F2^4)</f>
        <v>28.858892941016787</v>
      </c>
      <c r="J1" s="6">
        <f>(A1-B1-2*C3)*F2*E2^3+(B1-B2+2*C3)*F2^3*E2</f>
        <v>26.918967358703121</v>
      </c>
      <c r="K1" s="6"/>
      <c r="L1" s="7" t="s">
        <v>6</v>
      </c>
      <c r="M1" s="7" t="s">
        <v>17</v>
      </c>
      <c r="N1" s="7"/>
      <c r="O1" s="8">
        <f>(H1*(0.2875*2.15625^2+0.2875^3/12)+H1*(0.2875*1.86875^2+0.2875^3/12)+H5*(0.2875*1.58125^2+0.2875^3/12)+H5*(0.2875*1.29375^2+0.2875^3/12))+(H9*(0.2875*1.00625^2+0.2875^3/12)+H9*(0.2875*0.71875^2+0.2875^3/12)+H13*(0.2875*0.43125^2+0.2875^3/12)+H13*(0.2875*0.14375^2+0.2875^3/12))+(H13*(0.2875*0.14375^2+0.2875^3/12)+H13*(0.2875*0.43125^2+0.2875^3/12)+H9*(0.2875*0.71875^2+0.2875^3/12)+H9*(0.2875*1.00625^2+0.2875^3/12))+(H5*(0.2875*1.29375^2+0.2875^3/12)+H5*(0.2875*1.58125^2+0.2875^3/12)+H1*(0.2875*1.86875^2+0.2875^3/12)+H1*(0.2875*2.15625^2+0.2875^3/12))</f>
        <v>359.839346676883</v>
      </c>
      <c r="P1" s="6">
        <f>(I1*(0.2875*2.15625^2+0.2875^3/12)+I1*(0.2875*1.86875^2+0.2875^3/12)+I5*(0.2875*1.58125^2+0.2875^3/12)+I5*(0.2875*1.29375^2+0.2875^3/12))+(I9*(0.2875*1.00625^2+0.2875^3/12)+I9*(0.2875*0.71875^2+0.2875^3/12)+I13*(0.2875*0.43125^2+0.2875^3/12)+I13*(0.2875*0.14375^2+0.2875^3/12))+(I13*(0.2875*0.14375^2+0.2875^3/12)+I13*(0.2875*0.43125^2+0.2875^3/12)+I9*(0.2875*0.71875^2+0.2875^3/12)+I9*(0.2875*1.00625^2+0.2875^3/12))+(I5*(0.2875*1.29375^2+0.2875^3/12)+I5*(0.2875*1.58125^2+0.2875^3/12)+I1*(0.2875*1.86875^2+0.2875^3/12)+I1*(0.2875*2.15625^2+0.2875^3/12))</f>
        <v>207.67269357445485</v>
      </c>
      <c r="Q1" s="6">
        <f>(J1*(0.2875*2.15625^2+0.2875^3/12)+J1*(0.2875*1.86875^2+0.2875^3/12)+J5*(0.2875*1.58125^2+0.2875^3/12)+J5*(0.2875*1.29375^2+0.2875^3/12))+(J9*(0.2875*1.00625^2+0.2875^3/12)+J9*(0.2875*0.71875^2+0.2875^3/12)+J13*(0.2875*0.43125^2+0.2875^3/12)+J13*(0.2875*0.14375^2+0.2875^3/12))+(J13*(0.2875*0.14375^2+0.2875^3/12)+J13*(0.2875*0.43125^2+0.2875^3/12)+J9*(0.2875*0.71875^2+0.2875^3/12)+J9*(0.2875*1.00625^2+0.2875^3/12))+(J5*(0.2875*1.29375^2+0.2875^3/12)+J5*(0.2875*1.58125^2+0.2875^3/12)+J1*(0.2875*1.86875^2+0.2875^3/12)+J1*(0.2875*2.15625^2+0.2875^3/12))</f>
        <v>61.410576722501403</v>
      </c>
      <c r="R1" s="6"/>
      <c r="S1" t="s">
        <v>37</v>
      </c>
    </row>
    <row r="2" spans="1:19" x14ac:dyDescent="0.2">
      <c r="A2" s="6">
        <v>2.81</v>
      </c>
      <c r="B2" s="6">
        <v>8.27</v>
      </c>
      <c r="C2" s="6">
        <v>0</v>
      </c>
      <c r="D2" s="6"/>
      <c r="E2" s="6">
        <v>0.70709999999999995</v>
      </c>
      <c r="F2" s="6">
        <v>0.70709999999999995</v>
      </c>
      <c r="G2" s="6"/>
      <c r="H2" s="6"/>
      <c r="I2" s="6">
        <f>A1*F2^4+2*(B1+2*C3)*E2^2*F2^2+B2*E2^4</f>
        <v>36.058616751665468</v>
      </c>
      <c r="J2" s="6">
        <f>(A1-B1-2*C3)*E2*F2^3+(B1-B2+2*C3)*E2^3*F2</f>
        <v>26.918967358703121</v>
      </c>
      <c r="K2" s="6"/>
      <c r="L2" s="6"/>
      <c r="M2" s="6"/>
      <c r="N2" s="6"/>
      <c r="O2" s="7" t="s">
        <v>18</v>
      </c>
      <c r="P2" s="7" t="s">
        <v>12</v>
      </c>
      <c r="Q2" s="7" t="s">
        <v>21</v>
      </c>
      <c r="R2" s="6"/>
    </row>
    <row r="3" spans="1:19" x14ac:dyDescent="0.2">
      <c r="A3" s="6">
        <v>0</v>
      </c>
      <c r="B3" s="6">
        <v>0</v>
      </c>
      <c r="C3" s="6">
        <v>3.6</v>
      </c>
      <c r="D3" s="6"/>
      <c r="E3" s="6"/>
      <c r="F3" s="6"/>
      <c r="G3" s="6"/>
      <c r="H3" s="6"/>
      <c r="I3" s="6"/>
      <c r="J3" s="6">
        <f>(A1+B2-2*B1-2*C3)*E2^2*F2^2+C3*(E2^4+F2^4)</f>
        <v>29.648862636907406</v>
      </c>
      <c r="K3" s="6"/>
      <c r="L3" s="6"/>
      <c r="M3" s="6"/>
      <c r="N3" s="6"/>
      <c r="O3" s="6" t="s">
        <v>35</v>
      </c>
      <c r="P3" s="6"/>
      <c r="Q3" s="6"/>
      <c r="R3" s="6"/>
    </row>
    <row r="4" spans="1:19" x14ac:dyDescent="0.2">
      <c r="A4" s="9" t="s">
        <v>26</v>
      </c>
      <c r="B4" s="6"/>
      <c r="C4" s="6"/>
      <c r="D4" s="6"/>
      <c r="E4" s="7" t="s">
        <v>22</v>
      </c>
      <c r="F4" s="6"/>
      <c r="G4" s="6"/>
      <c r="H4" s="7" t="s">
        <v>27</v>
      </c>
      <c r="I4" s="6"/>
      <c r="J4" s="6"/>
      <c r="K4" s="6"/>
      <c r="L4" s="6"/>
      <c r="M4" s="6"/>
      <c r="N4" s="6"/>
      <c r="O4" s="6" t="s">
        <v>36</v>
      </c>
      <c r="P4" s="6"/>
      <c r="Q4" s="6"/>
      <c r="R4" s="6"/>
    </row>
    <row r="5" spans="1:19" x14ac:dyDescent="0.2">
      <c r="A5" s="6">
        <v>115.95</v>
      </c>
      <c r="B5" s="6">
        <v>2.81</v>
      </c>
      <c r="C5" s="6">
        <v>0</v>
      </c>
      <c r="D5" s="6"/>
      <c r="E5" s="6" t="s">
        <v>0</v>
      </c>
      <c r="F5" s="6" t="s">
        <v>1</v>
      </c>
      <c r="G5" s="6"/>
      <c r="H5" s="6">
        <f>A5*E6^4+2*(B5+2*C7)*E6^2*F6^2+B6*F6^4</f>
        <v>36.058616751665468</v>
      </c>
      <c r="I5" s="6">
        <f>(A5+B6-4*C7)*E6^2*F6^2+B5*(E6^4+F6^4)</f>
        <v>28.858892941016787</v>
      </c>
      <c r="J5" s="6">
        <f>(A5-B5-2*C7)*F6*E6^3+(B5-B6+2*C7)*F6^3*E6</f>
        <v>-26.918967358703121</v>
      </c>
      <c r="K5" s="6"/>
      <c r="L5" s="6"/>
      <c r="M5" s="6"/>
      <c r="N5" s="6"/>
      <c r="O5" s="6"/>
      <c r="P5" s="6"/>
      <c r="Q5" s="6"/>
      <c r="R5" s="6"/>
    </row>
    <row r="6" spans="1:19" x14ac:dyDescent="0.2">
      <c r="A6" s="6">
        <v>2.81</v>
      </c>
      <c r="B6" s="6">
        <v>8.27</v>
      </c>
      <c r="C6" s="6">
        <v>0</v>
      </c>
      <c r="D6" s="6"/>
      <c r="E6" s="6">
        <v>0.70709999999999995</v>
      </c>
      <c r="F6" s="6">
        <v>-0.70709999999999995</v>
      </c>
      <c r="G6" s="6"/>
      <c r="H6" s="6"/>
      <c r="I6" s="6">
        <f>A5*F6^4+2*(B5+2*C7)*E6^2*F6^2+B6*E6^4</f>
        <v>36.058616751665468</v>
      </c>
      <c r="J6" s="6">
        <f>(A5-B5-2*C7)*E6*F6^3+(B5-B6+2*C7)*E6^3*F6</f>
        <v>-26.918967358703121</v>
      </c>
      <c r="K6" s="6"/>
      <c r="L6" s="6"/>
      <c r="M6" s="6"/>
      <c r="N6" s="6"/>
      <c r="O6" s="6"/>
      <c r="P6" s="6"/>
      <c r="Q6" s="6"/>
      <c r="R6" s="6"/>
    </row>
    <row r="7" spans="1:19" x14ac:dyDescent="0.2">
      <c r="A7" s="6">
        <v>0</v>
      </c>
      <c r="B7" s="6">
        <v>0</v>
      </c>
      <c r="C7" s="6">
        <v>3.6</v>
      </c>
      <c r="D7" s="6"/>
      <c r="E7" s="6"/>
      <c r="F7" s="6"/>
      <c r="G7" s="6"/>
      <c r="H7" s="6"/>
      <c r="I7" s="6"/>
      <c r="J7" s="6">
        <f>(A5+B6-2*B5-2*C7)*E6^2*F6^2+C7*(E6^4+F6^4)</f>
        <v>29.648862636907406</v>
      </c>
      <c r="K7" s="6"/>
      <c r="L7" s="6"/>
      <c r="M7" s="6"/>
      <c r="N7" s="6"/>
      <c r="O7" s="6"/>
      <c r="P7" s="6"/>
      <c r="Q7" s="6"/>
      <c r="R7" s="6"/>
    </row>
    <row r="8" spans="1:19" x14ac:dyDescent="0.2">
      <c r="A8" s="6"/>
      <c r="B8" s="6"/>
      <c r="C8" s="6"/>
      <c r="D8" s="6"/>
      <c r="E8" s="7" t="s">
        <v>23</v>
      </c>
      <c r="F8" s="6"/>
      <c r="G8" s="6"/>
      <c r="H8" s="7" t="s">
        <v>28</v>
      </c>
      <c r="I8" s="6"/>
      <c r="J8" s="6"/>
      <c r="K8" s="6"/>
      <c r="L8" s="6"/>
      <c r="M8" s="6"/>
      <c r="N8" s="6"/>
      <c r="O8" s="6"/>
      <c r="P8" s="6"/>
      <c r="Q8" s="6"/>
      <c r="R8" s="6"/>
    </row>
    <row r="9" spans="1:19" x14ac:dyDescent="0.2">
      <c r="A9" s="6">
        <v>115.95</v>
      </c>
      <c r="B9" s="6">
        <v>2.81</v>
      </c>
      <c r="C9" s="6">
        <v>0</v>
      </c>
      <c r="D9" s="6"/>
      <c r="E9" s="6" t="s">
        <v>0</v>
      </c>
      <c r="F9" s="6" t="s">
        <v>1</v>
      </c>
      <c r="G9" s="6"/>
      <c r="H9" s="6">
        <f>A9*E10^4+2*(B9+2*C11)*E10^2*F10^2+B10*F10^4</f>
        <v>115.95</v>
      </c>
      <c r="I9" s="6">
        <f>(A9+B10-4*C11)*E10^2*F10^2+B9*(E10^4+F10^4)</f>
        <v>2.81</v>
      </c>
      <c r="J9" s="6">
        <f>(A9-B9-2*C11)*F10*E10^3+(B9-B10+2*C11)*F10^3*E10</f>
        <v>0</v>
      </c>
      <c r="K9" s="6"/>
      <c r="L9" s="6"/>
      <c r="M9" s="6"/>
      <c r="N9" s="6"/>
      <c r="O9" s="6"/>
      <c r="P9" s="6"/>
      <c r="Q9" s="6"/>
      <c r="R9" s="6"/>
    </row>
    <row r="10" spans="1:19" x14ac:dyDescent="0.2">
      <c r="A10" s="6">
        <v>2.81</v>
      </c>
      <c r="B10" s="6">
        <v>8.27</v>
      </c>
      <c r="C10" s="6">
        <v>0</v>
      </c>
      <c r="D10" s="6"/>
      <c r="E10" s="6">
        <v>1</v>
      </c>
      <c r="F10" s="6">
        <v>0</v>
      </c>
      <c r="G10" s="6"/>
      <c r="H10" s="6"/>
      <c r="I10" s="6">
        <f>A9*F10^4+2*(B9+2*C11)*E10^2*F10^2+B10*E10^4</f>
        <v>8.27</v>
      </c>
      <c r="J10" s="6">
        <f>(A9-B9-2*C11)*E10*F10^3+(B9-B10+2*C11)*E10^3*F10</f>
        <v>0</v>
      </c>
      <c r="K10" s="6"/>
      <c r="L10" s="6"/>
      <c r="M10" s="6"/>
      <c r="N10" s="6"/>
      <c r="O10" s="6"/>
      <c r="P10" s="6"/>
      <c r="Q10" s="6"/>
      <c r="R10" s="6"/>
    </row>
    <row r="11" spans="1:19" x14ac:dyDescent="0.2">
      <c r="A11" s="6">
        <v>0</v>
      </c>
      <c r="B11" s="6">
        <v>0</v>
      </c>
      <c r="C11" s="6">
        <v>3.6</v>
      </c>
      <c r="D11" s="6"/>
      <c r="E11" s="6"/>
      <c r="F11" s="6"/>
      <c r="G11" s="6"/>
      <c r="H11" s="6"/>
      <c r="I11" s="6"/>
      <c r="J11" s="6">
        <f>(A9+B10-2*B9-2*C11)*E10^2*F10^2+C11*(E10^4+F10^4)</f>
        <v>3.6</v>
      </c>
      <c r="K11" s="6"/>
      <c r="L11" s="6"/>
      <c r="M11" s="6"/>
      <c r="N11" s="6"/>
      <c r="O11" s="6"/>
      <c r="P11" s="6"/>
      <c r="Q11" s="6"/>
      <c r="R11" s="6"/>
    </row>
    <row r="12" spans="1:19" x14ac:dyDescent="0.2">
      <c r="A12" s="6"/>
      <c r="B12" s="6"/>
      <c r="C12" s="6"/>
      <c r="D12" s="6"/>
      <c r="E12" s="7" t="s">
        <v>24</v>
      </c>
      <c r="F12" s="6"/>
      <c r="G12" s="6"/>
      <c r="H12" s="6" t="s">
        <v>40</v>
      </c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19" x14ac:dyDescent="0.2">
      <c r="A13" s="6">
        <v>115.95</v>
      </c>
      <c r="B13" s="6">
        <v>2.81</v>
      </c>
      <c r="C13" s="6">
        <v>0</v>
      </c>
      <c r="D13" s="6"/>
      <c r="E13" s="6" t="s">
        <v>0</v>
      </c>
      <c r="F13" s="6" t="s">
        <v>1</v>
      </c>
      <c r="G13" s="6"/>
      <c r="H13" s="6">
        <f>A13*E14^4+2*(B13+2*C15)*E14^2*F14^2+B14*F14^4</f>
        <v>8.27</v>
      </c>
      <c r="I13" s="6">
        <f>(A13+B14-4*C15)*E14^2*F14^2+B13*(E14^4+F14^4)</f>
        <v>2.81</v>
      </c>
      <c r="J13" s="6">
        <f>(A13-B13-2*C15)*F14*E14^3+(B13-B14+2*C15)*F14^3*E14</f>
        <v>0</v>
      </c>
      <c r="K13" s="6"/>
      <c r="L13" s="6"/>
      <c r="M13" s="6"/>
      <c r="N13" s="6"/>
      <c r="O13" s="6"/>
      <c r="P13" s="6"/>
      <c r="Q13" s="6"/>
      <c r="R13" s="6"/>
    </row>
    <row r="14" spans="1:19" x14ac:dyDescent="0.2">
      <c r="A14" s="6">
        <v>2.81</v>
      </c>
      <c r="B14" s="6">
        <v>8.27</v>
      </c>
      <c r="C14" s="6">
        <v>0</v>
      </c>
      <c r="D14" s="6"/>
      <c r="E14" s="6">
        <v>0</v>
      </c>
      <c r="F14" s="6">
        <v>1</v>
      </c>
      <c r="G14" s="6"/>
      <c r="H14" s="6"/>
      <c r="I14" s="6">
        <f>A13*F14^4+2*(B13+2*C15)*E14^2*F14^2+B14*E14^4</f>
        <v>115.95</v>
      </c>
      <c r="J14" s="6">
        <f>(A13-B13-2*C15)*E14*F14^3+(B13-B14+2*C15)*E14^3*F14</f>
        <v>0</v>
      </c>
      <c r="K14" s="6"/>
      <c r="L14" s="6"/>
      <c r="M14" s="6"/>
      <c r="N14" s="6"/>
      <c r="O14" s="6"/>
      <c r="P14" s="6"/>
      <c r="Q14" s="6"/>
      <c r="R14" s="6"/>
    </row>
    <row r="15" spans="1:19" x14ac:dyDescent="0.2">
      <c r="A15" s="6">
        <v>0</v>
      </c>
      <c r="B15" s="6">
        <v>0</v>
      </c>
      <c r="C15" s="6">
        <v>3.6</v>
      </c>
      <c r="D15" s="6"/>
      <c r="E15" s="6"/>
      <c r="F15" s="6"/>
      <c r="G15" s="6"/>
      <c r="H15" s="6"/>
      <c r="I15" s="6"/>
      <c r="J15" s="6">
        <f>(A13+B14-2*B13-2*C15)*E14^2*F14^2+C15*(E14^4+F14^4)</f>
        <v>3.6</v>
      </c>
      <c r="K15" s="6"/>
      <c r="L15" s="6"/>
      <c r="M15" s="6"/>
      <c r="N15" s="6"/>
      <c r="O15" s="6"/>
      <c r="P15" s="6"/>
      <c r="Q15" s="6"/>
      <c r="R15" s="6"/>
    </row>
    <row r="16" spans="1:19" x14ac:dyDescent="0.2">
      <c r="A16" s="6"/>
      <c r="B16" s="6"/>
      <c r="C16" s="6"/>
      <c r="D16" s="6"/>
      <c r="E16" s="7" t="s">
        <v>25</v>
      </c>
      <c r="F16" s="6"/>
      <c r="G16" s="6"/>
      <c r="H16" s="6" t="s">
        <v>41</v>
      </c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19" x14ac:dyDescent="0.2">
      <c r="A17" s="10"/>
      <c r="B17" s="10"/>
      <c r="C17" s="10"/>
      <c r="D17" s="10"/>
      <c r="E17" s="11" t="s">
        <v>3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t="s">
        <v>38</v>
      </c>
    </row>
    <row r="18" spans="1:19" x14ac:dyDescent="0.2">
      <c r="A18" s="10">
        <v>115.95</v>
      </c>
      <c r="B18" s="10">
        <v>2.81</v>
      </c>
      <c r="C18" s="10">
        <v>0</v>
      </c>
      <c r="D18" s="10"/>
      <c r="E18" s="10" t="s">
        <v>0</v>
      </c>
      <c r="F18" s="10" t="s">
        <v>1</v>
      </c>
      <c r="G18" s="10"/>
      <c r="H18" s="10">
        <f>A18*E19^4+2*(B18+2*C20)*E19^2*F19^2+B19*F19^4</f>
        <v>69.48462730447919</v>
      </c>
      <c r="I18" s="10">
        <f>(A18+B19-4*C20)*E19^2*F19^2+B18*(E19^4+F19^4)</f>
        <v>22.34610652544016</v>
      </c>
      <c r="J18" s="10">
        <f>(A18-B18-2*C20)*F19*E19^3+(B18-B19+2*C20)*F19^3*E19</f>
        <v>34.590351631119994</v>
      </c>
      <c r="K18" s="10"/>
      <c r="L18" s="12" t="s">
        <v>6</v>
      </c>
      <c r="M18" s="12" t="s">
        <v>17</v>
      </c>
      <c r="N18" s="12"/>
      <c r="O18" s="13">
        <f>(H18*(0.2875*2.15625^2+0.2875^3/12)+H22*(0.2875*1.86875^2+0.2875^3/12)+H26*(0.2875*1.58125^2+0.2875^3/12)+H30*(0.2875*1.29375^2+0.2875^3/12))+(H18*(0.2875*1.00625^2+0.2875^3/12)+H22*(0.2875*0.71875^2+0.2875^3/12)+H26*(0.2875*0.43125^2+0.2875^3/12)+H30*(0.2875*0.14375^2+0.2875^3/12))+(H18*(0.2875*0.14375^2+0.2875^3/12)+H22*(0.2875*0.43125^2+0.2875^3/12)+H26*(0.2875*0.71875^2+0.2875^3/12)+H30*(0.2875*1.00625^2+0.2875^3/12))+(H18*(0.2875*1.29375^2+0.2875^3/12)+H22*(0.2875*1.58125^2+0.2875^3/12)+H26*(0.2875*1.86875^2+0.2875^3/12)+H30*(0.2875*2.15625^2+0.2875^3/12))</f>
        <v>345.28470256657351</v>
      </c>
      <c r="P18" s="10">
        <f>(I18*(0.2875*2.15625^2+0.2875^3/12)+I22*(0.2875*1.86875^2+0.2875^3/12)+I26*(0.2875*1.58125^2+0.2875^3/12)+I30*(0.2875*1.29375^2+0.2875^3/12))+(I18*(0.2875*1.00625^2+0.2875^3/12)+I22*(0.2875*0.71875^2+0.2875^3/12)+I26*(0.2875*0.43125^2+0.2875^3/12)+I30*(0.2875*0.14375^2+0.2875^3/12))+(I18*(0.2875*0.14375^2+0.2875^3/12)+I22*(0.2875*0.43125^2+0.2875^3/12)+I26*(0.2875*0.71875^2+0.2875^3/12)+I30*(0.2875*1.00625^2+0.2875^3/12))+(I18*(0.2875*1.29375^2+0.2875^3/12)+I22*(0.2875*1.58125^2+0.2875^3/12)+I26*(0.2875*1.86875^2+0.2875^3/12)+I30*(0.2875*2.15625^2+0.2875^3/12))</f>
        <v>181.25671873002028</v>
      </c>
      <c r="Q18" s="10">
        <f>(J18*(0.2875*2.15625^2+0.2875^3/12)+J22*(0.2875*1.86875^2+0.2875^3/12)+J26*(0.2875*1.58125^2+0.2875^3/12)+J30*(0.2875*1.29375^2+0.2875^3/12))+(J18*(0.2875*1.00625^2+0.2875^3/12)+J22*(0.2875*0.71875^2+0.2875^3/12)+J26*(0.2875*0.43125^2+0.2875^3/12)+J30*(0.2875*0.14375^2+0.2875^3/12))+(J18*(0.2875*0.14375^2+0.2875^3/12)+J22*(0.2875*0.43125^2+0.2875^3/12)+J26*(0.2875*0.71875^2+0.2875^3/12)+J30*(0.2875*1.00625^2+0.2875^3/12))+(J18*(0.2875*1.29375^2+0.2875^3/12)+J22*(0.2875*1.58125^2+0.2875^3/12)+J26*(0.2875*1.86875^2+0.2875^3/12)+J30*(0.2875*2.15625^2+0.2875^3/12))</f>
        <v>8.8635432444366771</v>
      </c>
      <c r="R18" s="10"/>
    </row>
    <row r="19" spans="1:19" x14ac:dyDescent="0.2">
      <c r="A19" s="10">
        <v>2.81</v>
      </c>
      <c r="B19" s="10">
        <v>8.27</v>
      </c>
      <c r="C19" s="10">
        <v>0</v>
      </c>
      <c r="D19" s="10"/>
      <c r="E19" s="10">
        <v>0.86599999999999999</v>
      </c>
      <c r="F19" s="10">
        <v>0.5</v>
      </c>
      <c r="G19" s="10"/>
      <c r="H19" s="10"/>
      <c r="I19" s="10">
        <f>A18*F19^4+2*(B18+2*C20)*E19^2*F19^2+B19*E19^4</f>
        <v>15.651733976010719</v>
      </c>
      <c r="J19" s="10">
        <f>(A18-B18-2*C20)*E19*F19^3+(B18-B19+2*C20)*E19^3*F19</f>
        <v>12.03303684952</v>
      </c>
      <c r="K19" s="10"/>
      <c r="L19" s="10"/>
      <c r="M19" s="10"/>
      <c r="N19" s="10"/>
      <c r="O19" s="12" t="s">
        <v>19</v>
      </c>
      <c r="P19" s="10"/>
      <c r="Q19" s="10"/>
      <c r="R19" s="10"/>
    </row>
    <row r="20" spans="1:19" x14ac:dyDescent="0.2">
      <c r="A20" s="10">
        <v>0</v>
      </c>
      <c r="B20" s="10">
        <v>0</v>
      </c>
      <c r="C20" s="10">
        <v>3.6</v>
      </c>
      <c r="D20" s="10"/>
      <c r="E20" s="10"/>
      <c r="F20" s="10"/>
      <c r="G20" s="10"/>
      <c r="H20" s="10"/>
      <c r="I20" s="10"/>
      <c r="J20" s="10">
        <f>(A18+B19-2*B18-2*C20)*E19^2*F19^2+C20*(E19^4+F19^4)</f>
        <v>23.136037006969595</v>
      </c>
      <c r="K20" s="10"/>
      <c r="L20" s="10"/>
      <c r="M20" s="10"/>
      <c r="N20" s="10"/>
      <c r="O20" s="10" t="s">
        <v>35</v>
      </c>
      <c r="P20" s="10"/>
      <c r="Q20" s="10"/>
      <c r="R20" s="10"/>
    </row>
    <row r="21" spans="1:19" x14ac:dyDescent="0.2">
      <c r="A21" s="10"/>
      <c r="B21" s="10"/>
      <c r="C21" s="10"/>
      <c r="D21" s="10"/>
      <c r="E21" s="12" t="s">
        <v>29</v>
      </c>
      <c r="F21" s="10"/>
      <c r="G21" s="10"/>
      <c r="H21" s="10" t="s">
        <v>42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</row>
    <row r="22" spans="1:19" x14ac:dyDescent="0.2">
      <c r="A22" s="10">
        <v>115.95</v>
      </c>
      <c r="B22" s="10">
        <v>2.81</v>
      </c>
      <c r="C22" s="10">
        <v>0</v>
      </c>
      <c r="D22" s="10"/>
      <c r="E22" s="10" t="s">
        <v>0</v>
      </c>
      <c r="F22" s="10" t="s">
        <v>1</v>
      </c>
      <c r="G22" s="10"/>
      <c r="H22" s="10">
        <f>A22*E23^4+2*(B22+2*C24)*E23^2*F23^2+B23*F23^4</f>
        <v>15.651733976010719</v>
      </c>
      <c r="I22" s="10">
        <f>(A22+B23-4*C24)*E23^2*F23^2+B22*(E23^4+F23^4)</f>
        <v>22.34610652544016</v>
      </c>
      <c r="J22" s="10">
        <f>(A22-B22-2*C24)*F23*E23^3+(B22-B23+2*C24)*F23^3*E23</f>
        <v>-12.03303684952</v>
      </c>
      <c r="K22" s="10"/>
      <c r="L22" s="10"/>
      <c r="M22" s="10"/>
      <c r="N22" s="10"/>
      <c r="O22" s="10"/>
      <c r="P22" s="10"/>
      <c r="Q22" s="10"/>
      <c r="R22" s="10"/>
    </row>
    <row r="23" spans="1:19" x14ac:dyDescent="0.2">
      <c r="A23" s="10">
        <v>2.81</v>
      </c>
      <c r="B23" s="10">
        <v>8.27</v>
      </c>
      <c r="C23" s="10">
        <v>0</v>
      </c>
      <c r="D23" s="10"/>
      <c r="E23" s="10">
        <v>0.5</v>
      </c>
      <c r="F23" s="10">
        <v>-0.86599999999999999</v>
      </c>
      <c r="G23" s="10"/>
      <c r="H23" s="10"/>
      <c r="I23" s="10">
        <f>A22*F23^4+2*(B22+2*C24)*E23^2*F23^2+B23*E23^4</f>
        <v>69.48462730447919</v>
      </c>
      <c r="J23" s="10">
        <f>(A22-B22-2*C24)*E23*F23^3+(B22-B23+2*C24)*E23^3*F23</f>
        <v>-34.590351631119994</v>
      </c>
      <c r="K23" s="10"/>
      <c r="L23" s="10"/>
      <c r="M23" s="10"/>
      <c r="N23" s="10"/>
      <c r="O23" s="10"/>
      <c r="P23" s="10"/>
      <c r="Q23" s="10"/>
      <c r="R23" s="10"/>
    </row>
    <row r="24" spans="1:19" x14ac:dyDescent="0.2">
      <c r="A24" s="10">
        <v>0</v>
      </c>
      <c r="B24" s="10">
        <v>0</v>
      </c>
      <c r="C24" s="10">
        <v>3.6</v>
      </c>
      <c r="D24" s="10"/>
      <c r="E24" s="10"/>
      <c r="F24" s="10"/>
      <c r="G24" s="10"/>
      <c r="H24" s="10"/>
      <c r="I24" s="10"/>
      <c r="J24" s="10">
        <f>(A22+B23-2*B22-2*C24)*E23^2*F23^2+C24*(E23^4+F23^4)</f>
        <v>23.136037006969595</v>
      </c>
      <c r="K24" s="10"/>
      <c r="L24" s="10"/>
      <c r="M24" s="10"/>
      <c r="N24" s="10"/>
      <c r="O24" s="10"/>
      <c r="P24" s="10"/>
      <c r="Q24" s="10"/>
      <c r="R24" s="10"/>
    </row>
    <row r="25" spans="1:19" x14ac:dyDescent="0.2">
      <c r="A25" s="10"/>
      <c r="B25" s="10"/>
      <c r="C25" s="10"/>
      <c r="D25" s="10"/>
      <c r="E25" s="12" t="s">
        <v>30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</row>
    <row r="26" spans="1:19" x14ac:dyDescent="0.2">
      <c r="A26" s="10">
        <v>115.95</v>
      </c>
      <c r="B26" s="10">
        <v>2.81</v>
      </c>
      <c r="C26" s="10">
        <v>0</v>
      </c>
      <c r="D26" s="10"/>
      <c r="E26" s="10" t="s">
        <v>0</v>
      </c>
      <c r="F26" s="10" t="s">
        <v>1</v>
      </c>
      <c r="G26" s="10"/>
      <c r="H26" s="10">
        <f>A26*E27^4+2*(B26+2*C28)*E27^2*F27^2+B27*F27^4</f>
        <v>69.48462730447919</v>
      </c>
      <c r="I26" s="10">
        <f>(A26+B27-4*C28)*E27^2*F27^2+B26*(E27^4+F27^4)</f>
        <v>22.34610652544016</v>
      </c>
      <c r="J26" s="10">
        <f>(A26-B26-2*C28)*F27*E27^3+(B26-B27+2*C28)*F27^3*E27</f>
        <v>-34.590351631119994</v>
      </c>
      <c r="K26" s="10"/>
      <c r="L26" s="10"/>
      <c r="M26" s="10"/>
      <c r="N26" s="10"/>
      <c r="O26" s="10"/>
      <c r="P26" s="10"/>
      <c r="Q26" s="10"/>
      <c r="R26" s="10"/>
    </row>
    <row r="27" spans="1:19" x14ac:dyDescent="0.2">
      <c r="A27" s="10">
        <v>2.81</v>
      </c>
      <c r="B27" s="10">
        <v>8.27</v>
      </c>
      <c r="C27" s="10">
        <v>0</v>
      </c>
      <c r="D27" s="10"/>
      <c r="E27" s="10">
        <v>0.86599999999999999</v>
      </c>
      <c r="F27" s="10">
        <v>-0.5</v>
      </c>
      <c r="G27" s="10"/>
      <c r="H27" s="10"/>
      <c r="I27" s="10">
        <f>A26*F27^4+2*(B26+2*C28)*E27^2*F27^2+B27*E27^4</f>
        <v>15.651733976010719</v>
      </c>
      <c r="J27" s="10">
        <f>(A26-B26-2*C28)*E27*F27^3+(B26-B27+2*C28)*E27^3*F27</f>
        <v>-12.03303684952</v>
      </c>
      <c r="K27" s="10"/>
      <c r="L27" s="10"/>
      <c r="M27" s="10"/>
      <c r="N27" s="10"/>
      <c r="O27" s="10"/>
      <c r="P27" s="10"/>
      <c r="Q27" s="10"/>
      <c r="R27" s="10"/>
    </row>
    <row r="28" spans="1:19" x14ac:dyDescent="0.2">
      <c r="A28" s="10">
        <v>0</v>
      </c>
      <c r="B28" s="10">
        <v>0</v>
      </c>
      <c r="C28" s="10">
        <v>3.6</v>
      </c>
      <c r="D28" s="10"/>
      <c r="E28" s="10"/>
      <c r="F28" s="10"/>
      <c r="G28" s="10"/>
      <c r="H28" s="10"/>
      <c r="I28" s="10"/>
      <c r="J28" s="10">
        <f>(A26+B27-2*B26-2*C28)*E27^2*F27^2+C28*(E27^4+F27^4)</f>
        <v>23.136037006969595</v>
      </c>
      <c r="K28" s="10"/>
      <c r="L28" s="10"/>
      <c r="M28" s="10"/>
      <c r="N28" s="10"/>
      <c r="O28" s="10"/>
      <c r="P28" s="10"/>
      <c r="Q28" s="10"/>
      <c r="R28" s="10"/>
    </row>
    <row r="29" spans="1:19" x14ac:dyDescent="0.2">
      <c r="A29" s="10"/>
      <c r="B29" s="10"/>
      <c r="C29" s="10"/>
      <c r="D29" s="10"/>
      <c r="E29" s="12" t="s">
        <v>31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</row>
    <row r="30" spans="1:19" x14ac:dyDescent="0.2">
      <c r="A30" s="10">
        <v>115.95</v>
      </c>
      <c r="B30" s="10">
        <v>2.81</v>
      </c>
      <c r="C30" s="10">
        <v>0</v>
      </c>
      <c r="D30" s="10"/>
      <c r="E30" s="10" t="s">
        <v>0</v>
      </c>
      <c r="F30" s="10" t="s">
        <v>1</v>
      </c>
      <c r="G30" s="10"/>
      <c r="H30" s="10">
        <f>A30*E31^4+2*(B30+2*C32)*E31^2*F31^2+B31*F31^4</f>
        <v>15.651733976010719</v>
      </c>
      <c r="I30" s="10">
        <f>(A30+B31-4*C32)*E31^2*F31^2+B30*(E31^4+F31^4)</f>
        <v>22.34610652544016</v>
      </c>
      <c r="J30" s="10">
        <f>(A30-B30-2*C32)*F31*E31^3+(B30-B31+2*C32)*F31^3*E31</f>
        <v>12.03303684952</v>
      </c>
      <c r="K30" s="10"/>
      <c r="L30" s="10"/>
      <c r="M30" s="10"/>
      <c r="N30" s="10"/>
      <c r="O30" s="10"/>
      <c r="P30" s="10"/>
      <c r="Q30" s="10"/>
      <c r="R30" s="10"/>
    </row>
    <row r="31" spans="1:19" x14ac:dyDescent="0.2">
      <c r="A31" s="10">
        <v>2.81</v>
      </c>
      <c r="B31" s="10">
        <v>8.27</v>
      </c>
      <c r="C31" s="10">
        <v>0</v>
      </c>
      <c r="D31" s="10"/>
      <c r="E31" s="10">
        <v>0.5</v>
      </c>
      <c r="F31" s="10">
        <v>0.86599999999999999</v>
      </c>
      <c r="G31" s="10"/>
      <c r="H31" s="10"/>
      <c r="I31" s="10">
        <f>A30*F31^4+2*(B30+2*C32)*E31^2*F31^2+B31*E31^4</f>
        <v>69.48462730447919</v>
      </c>
      <c r="J31" s="10">
        <f>(A30-B30-2*C32)*E31*F31^3+(B30-B31+2*C32)*E31^3*F31</f>
        <v>34.590351631119994</v>
      </c>
      <c r="K31" s="10"/>
      <c r="L31" s="10"/>
      <c r="M31" s="10"/>
      <c r="N31" s="10"/>
      <c r="O31" s="10"/>
      <c r="P31" s="10"/>
      <c r="Q31" s="10"/>
      <c r="R31" s="10"/>
    </row>
    <row r="32" spans="1:19" x14ac:dyDescent="0.2">
      <c r="A32" s="10">
        <v>0</v>
      </c>
      <c r="B32" s="10">
        <v>0</v>
      </c>
      <c r="C32" s="10">
        <v>3.6</v>
      </c>
      <c r="D32" s="10"/>
      <c r="E32" s="10"/>
      <c r="F32" s="10"/>
      <c r="G32" s="10"/>
      <c r="H32" s="10"/>
      <c r="I32" s="10"/>
      <c r="J32" s="10">
        <f>(A30+B31-2*B30-2*C32)*E31^2*F31^2+C32*(E31^4+F31^4)</f>
        <v>23.136037006969595</v>
      </c>
      <c r="K32" s="10"/>
      <c r="L32" s="10"/>
      <c r="M32" s="10"/>
      <c r="N32" s="10"/>
      <c r="O32" s="10"/>
      <c r="P32" s="10"/>
      <c r="Q32" s="10"/>
      <c r="R32" s="10"/>
    </row>
    <row r="33" spans="1:19" x14ac:dyDescent="0.2">
      <c r="A33" s="10"/>
      <c r="B33" s="10"/>
      <c r="C33" s="10"/>
      <c r="D33" s="10"/>
      <c r="E33" s="12" t="s">
        <v>4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</row>
    <row r="34" spans="1:19" x14ac:dyDescent="0.2">
      <c r="A34" s="14"/>
      <c r="B34" s="14"/>
      <c r="C34" s="14"/>
      <c r="D34" s="14"/>
      <c r="E34" s="15" t="s">
        <v>5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t="s">
        <v>39</v>
      </c>
    </row>
    <row r="35" spans="1:19" x14ac:dyDescent="0.2">
      <c r="A35" s="14">
        <v>115.95</v>
      </c>
      <c r="B35" s="14">
        <v>2.81</v>
      </c>
      <c r="C35" s="14">
        <v>0</v>
      </c>
      <c r="D35" s="14"/>
      <c r="E35" s="14" t="s">
        <v>0</v>
      </c>
      <c r="F35" s="14" t="s">
        <v>1</v>
      </c>
      <c r="G35" s="14"/>
      <c r="H35" s="14">
        <f>A35*E36^4+2*(B35+2*C37)*E36^2*F36^2+B36*F36^4</f>
        <v>36.058616751665468</v>
      </c>
      <c r="I35" s="14">
        <f>(A35+B36-4*C37)*E36^2*F36^2+B35*(E36^4+F36^4)</f>
        <v>28.858892941016787</v>
      </c>
      <c r="J35" s="14">
        <f>(A35-B35-2*C37)*F36*E36^3+(B35-B36+2*C37)*F36^3*E36</f>
        <v>26.918967358703121</v>
      </c>
      <c r="K35" s="14"/>
      <c r="L35" s="16" t="s">
        <v>6</v>
      </c>
      <c r="M35" s="16" t="s">
        <v>17</v>
      </c>
      <c r="N35" s="16"/>
      <c r="O35" s="17">
        <f>(H35*(0.2875*2.15625^2+0.2875^3/12)+H39*(0.2875*1.86875^2+0.2875^3/12)+H43*(0.2875*1.58125^2+0.2875^3/12)+H47*(0.2875*1.29375^2+0.2875^3/12))+(H35*(0.2875*1.00625^2+0.2875^3/12)+H39*(0.2875*0.71875^2+0.2875^3/12)+H43*(0.2875*0.43125^2+0.2875^3/12)+H47*(0.2875*0.14375^2+0.2875^3/12))+(H35*(0.2875*0.14375^2+0.2875^3/12)+H39*(0.2875*0.43125^2+0.2875^3/12)+H43*(0.2875*0.71875^2+0.2875^3/12)+H47*(0.2875*1.00625^2+0.2875^3/12))+(H35*(0.2875*1.29375^2+0.2875^3/12)+H39*(0.2875*1.58125^2+0.2875^3/12)+H43*(0.2875*1.86875^2+0.2875^3/12)+H47*(0.2875*2.15625^2+0.2875^3/12))</f>
        <v>292.48346001167585</v>
      </c>
      <c r="P35" s="14">
        <f>(I35*(0.2875*2.15625^2+0.2875^3/12)+I39*(0.2875*1.86875^2+0.2875^3/12)+I43*(0.2875*1.58125^2+0.2875^3/12)+I47*(0.2875*1.29375^2+0.2875^3/12))+(I35*(0.2875*1.00625^2+0.2875^3/12)+I39*(0.2875*0.71875^2+0.2875^3/12)+I43*(0.2875*0.43125^2+0.2875^3/12)+I47*(0.2875*0.14375^2+0.2875^3/12))+(I35*(0.2875*0.14375^2+0.2875^3/12)+I39*(0.2875*0.43125^2+0.2875^3/12)+I43*(0.2875*0.71875^2+0.2875^3/12)+I47*(0.2875*1.00625^2+0.2875^3/12))+(I35*(0.2875*1.29375^2+0.2875^3/12)+I39*(0.2875*1.58125^2+0.2875^3/12)+I43*(0.2875*1.86875^2+0.2875^3/12)+I47*(0.2875*2.15625^2+0.2875^3/12))</f>
        <v>234.08410027556747</v>
      </c>
      <c r="Q35" s="14">
        <f>(J35*(0.2875*2.15625^2+0.2875^3/12)+J39*(0.2875*1.86875^2+0.2875^3/12)+J43*(0.2875*1.58125^2+0.2875^3/12)+J47*(0.2875*1.29375^2+0.2875^3/12))+(J35*(0.2875*1.00625^2+0.2875^3/12)+J39*(0.2875*0.71875^2+0.2875^3/12)+J43*(0.2875*0.43125^2+0.2875^3/12)+J47*(0.2875*0.14375^2+0.2875^3/12))+(J35*(0.2875*0.14375^2+0.2875^3/12)+J39*(0.2875*0.43125^2+0.2875^3/12)+J43*(0.2875*0.71875^2+0.2875^3/12)+J47*(0.2875*1.00625^2+0.2875^3/12))+(J35*(0.2875*1.29375^2+0.2875^3/12)+J39*(0.2875*1.58125^2+0.2875^3/12)+J43*(0.2875*1.86875^2+0.2875^3/12)+J47*(0.2875*2.15625^2+0.2875^3/12))</f>
        <v>10.235096120416916</v>
      </c>
      <c r="R35" s="14"/>
    </row>
    <row r="36" spans="1:19" x14ac:dyDescent="0.2">
      <c r="A36" s="14">
        <v>2.81</v>
      </c>
      <c r="B36" s="14">
        <v>8.27</v>
      </c>
      <c r="C36" s="14">
        <v>0</v>
      </c>
      <c r="D36" s="14"/>
      <c r="E36" s="14">
        <v>0.70709999999999995</v>
      </c>
      <c r="F36" s="14">
        <v>0.70709999999999995</v>
      </c>
      <c r="G36" s="14"/>
      <c r="H36" s="14"/>
      <c r="I36" s="14">
        <f>A35*F36^4+2*(B35+2*C37)*E36^2*F36^2+B36*E36^4</f>
        <v>36.058616751665468</v>
      </c>
      <c r="J36" s="14">
        <f>(A35-B35-2*C37)*E36*F36^3+(B35-B36+2*C37)*E36^3*F36</f>
        <v>26.918967358703121</v>
      </c>
      <c r="K36" s="14"/>
      <c r="L36" s="14"/>
      <c r="M36" s="14"/>
      <c r="N36" s="14"/>
      <c r="O36" s="16" t="s">
        <v>20</v>
      </c>
      <c r="P36" s="14"/>
      <c r="Q36" s="14"/>
      <c r="R36" s="14"/>
    </row>
    <row r="37" spans="1:19" x14ac:dyDescent="0.2">
      <c r="A37" s="14">
        <v>0</v>
      </c>
      <c r="B37" s="14">
        <v>0</v>
      </c>
      <c r="C37" s="14">
        <v>3.6</v>
      </c>
      <c r="D37" s="14"/>
      <c r="E37" s="14"/>
      <c r="F37" s="14"/>
      <c r="G37" s="14"/>
      <c r="H37" s="14"/>
      <c r="I37" s="14"/>
      <c r="J37" s="14">
        <f>(A35+B36-2*B35-2*C37)*E36^2*F36^2+C37*(E36^4+F36^4)</f>
        <v>29.648862636907406</v>
      </c>
      <c r="K37" s="14"/>
      <c r="L37" s="14"/>
      <c r="M37" s="14"/>
      <c r="N37" s="14"/>
      <c r="O37" s="14" t="s">
        <v>35</v>
      </c>
      <c r="P37" s="14"/>
      <c r="Q37" s="14"/>
      <c r="R37" s="14"/>
    </row>
    <row r="38" spans="1:19" x14ac:dyDescent="0.2">
      <c r="A38" s="14"/>
      <c r="B38" s="14"/>
      <c r="C38" s="14"/>
      <c r="D38" s="14"/>
      <c r="E38" s="16" t="s">
        <v>32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</row>
    <row r="39" spans="1:19" x14ac:dyDescent="0.2">
      <c r="A39" s="14">
        <v>115.95</v>
      </c>
      <c r="B39" s="14">
        <v>2.81</v>
      </c>
      <c r="C39" s="14">
        <v>0</v>
      </c>
      <c r="D39" s="14"/>
      <c r="E39" s="14" t="s">
        <v>0</v>
      </c>
      <c r="F39" s="14" t="s">
        <v>1</v>
      </c>
      <c r="G39" s="14"/>
      <c r="H39" s="14">
        <f>A39*E40^4+2*(B39+2*C41)*E40^2*F40^2+B40*F40^4</f>
        <v>36.058616751665468</v>
      </c>
      <c r="I39" s="14">
        <f>(A39+B40-4*C41)*E40^2*F40^2+B39*(E40^4+F40^4)</f>
        <v>28.858892941016787</v>
      </c>
      <c r="J39" s="14">
        <f>(A39-B39-2*C41)*F40*E40^3+(B39-B40+2*C41)*F40^3*E40</f>
        <v>-26.918967358703121</v>
      </c>
      <c r="K39" s="14"/>
      <c r="L39" s="14"/>
      <c r="M39" s="14"/>
      <c r="N39" s="14"/>
      <c r="O39" s="14"/>
      <c r="P39" s="14"/>
      <c r="Q39" s="14"/>
      <c r="R39" s="14"/>
    </row>
    <row r="40" spans="1:19" x14ac:dyDescent="0.2">
      <c r="A40" s="14">
        <v>2.81</v>
      </c>
      <c r="B40" s="14">
        <v>8.27</v>
      </c>
      <c r="C40" s="14">
        <v>0</v>
      </c>
      <c r="D40" s="14"/>
      <c r="E40" s="14">
        <v>0.70709999999999995</v>
      </c>
      <c r="F40" s="14">
        <v>-0.70709999999999995</v>
      </c>
      <c r="G40" s="14"/>
      <c r="H40" s="14"/>
      <c r="I40" s="14">
        <f>A39*F40^4+2*(B39+2*C41)*E40^2*F40^2+B40*E40^4</f>
        <v>36.058616751665468</v>
      </c>
      <c r="J40" s="14">
        <f>(A39-B39-2*C41)*E40*F40^3+(B39-B40+2*C41)*E40^3*F40</f>
        <v>-26.918967358703121</v>
      </c>
      <c r="K40" s="14"/>
      <c r="L40" s="14"/>
      <c r="M40" s="14"/>
      <c r="N40" s="14"/>
      <c r="O40" s="14"/>
      <c r="P40" s="14"/>
      <c r="Q40" s="14"/>
      <c r="R40" s="14"/>
    </row>
    <row r="41" spans="1:19" x14ac:dyDescent="0.2">
      <c r="A41" s="14">
        <v>0</v>
      </c>
      <c r="B41" s="14">
        <v>0</v>
      </c>
      <c r="C41" s="14">
        <v>3.6</v>
      </c>
      <c r="D41" s="14"/>
      <c r="E41" s="14"/>
      <c r="F41" s="14"/>
      <c r="G41" s="14"/>
      <c r="H41" s="14"/>
      <c r="I41" s="14"/>
      <c r="J41" s="14">
        <f>(A39+B40-2*B39-2*C41)*E40^2*F40^2+C41*(E40^4+F40^4)</f>
        <v>29.648862636907406</v>
      </c>
      <c r="K41" s="14"/>
      <c r="L41" s="14"/>
      <c r="M41" s="14"/>
      <c r="N41" s="14"/>
      <c r="O41" s="14"/>
      <c r="P41" s="14"/>
      <c r="Q41" s="14"/>
      <c r="R41" s="14"/>
    </row>
    <row r="42" spans="1:19" x14ac:dyDescent="0.2">
      <c r="A42" s="14"/>
      <c r="B42" s="14"/>
      <c r="C42" s="14"/>
      <c r="D42" s="14"/>
      <c r="E42" s="16" t="s">
        <v>23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</row>
    <row r="43" spans="1:19" x14ac:dyDescent="0.2">
      <c r="A43" s="14">
        <v>115.95</v>
      </c>
      <c r="B43" s="14">
        <v>2.81</v>
      </c>
      <c r="C43" s="14">
        <v>0</v>
      </c>
      <c r="D43" s="14"/>
      <c r="E43" s="14" t="s">
        <v>0</v>
      </c>
      <c r="F43" s="14" t="s">
        <v>1</v>
      </c>
      <c r="G43" s="14"/>
      <c r="H43" s="14">
        <f>A43*E44^4+2*(B43+2*C45)*E44^2*F44^2+B44*F44^4</f>
        <v>36.058616751665468</v>
      </c>
      <c r="I43" s="14">
        <f>(A43+B44-4*C45)*E44^2*F44^2+B43*(E44^4+F44^4)</f>
        <v>28.858892941016787</v>
      </c>
      <c r="J43" s="14">
        <f>(A43-B43-2*C45)*F44*E44^3+(B43-B44+2*C45)*F44^3*E44</f>
        <v>-26.918967358703121</v>
      </c>
      <c r="K43" s="14"/>
      <c r="L43" s="14"/>
      <c r="M43" s="14"/>
      <c r="N43" s="14"/>
      <c r="O43" s="14"/>
      <c r="P43" s="14"/>
      <c r="Q43" s="14"/>
      <c r="R43" s="14"/>
    </row>
    <row r="44" spans="1:19" x14ac:dyDescent="0.2">
      <c r="A44" s="14">
        <v>2.81</v>
      </c>
      <c r="B44" s="14">
        <v>8.27</v>
      </c>
      <c r="C44" s="14">
        <v>0</v>
      </c>
      <c r="D44" s="14"/>
      <c r="E44" s="14">
        <v>0.70709999999999995</v>
      </c>
      <c r="F44" s="14">
        <v>-0.70709999999999995</v>
      </c>
      <c r="G44" s="14"/>
      <c r="H44" s="14"/>
      <c r="I44" s="14">
        <f>A43*F44^4+2*(B43+2*C45)*E44^2*F44^2+B44*E44^4</f>
        <v>36.058616751665468</v>
      </c>
      <c r="J44" s="14">
        <f>(A43-B43-2*C45)*E44*F44^3+(B43-B44+2*C45)*E44^3*F44</f>
        <v>-26.918967358703121</v>
      </c>
      <c r="K44" s="14"/>
      <c r="L44" s="14"/>
      <c r="M44" s="14"/>
      <c r="N44" s="14"/>
      <c r="O44" s="14"/>
      <c r="P44" s="14"/>
      <c r="Q44" s="14"/>
      <c r="R44" s="14"/>
    </row>
    <row r="45" spans="1:19" x14ac:dyDescent="0.2">
      <c r="A45" s="14">
        <v>0</v>
      </c>
      <c r="B45" s="14">
        <v>0</v>
      </c>
      <c r="C45" s="14">
        <v>3.6</v>
      </c>
      <c r="D45" s="14"/>
      <c r="E45" s="14"/>
      <c r="F45" s="14"/>
      <c r="G45" s="14"/>
      <c r="H45" s="14"/>
      <c r="I45" s="14"/>
      <c r="J45" s="14">
        <f>(A43+B44-2*B43-2*C45)*E44^2*F44^2+C45*(E44^4+F44^4)</f>
        <v>29.648862636907406</v>
      </c>
      <c r="K45" s="14"/>
      <c r="L45" s="14"/>
      <c r="M45" s="14"/>
      <c r="N45" s="14"/>
      <c r="O45" s="14"/>
      <c r="P45" s="14"/>
      <c r="Q45" s="14"/>
      <c r="R45" s="14"/>
    </row>
    <row r="46" spans="1:19" x14ac:dyDescent="0.2">
      <c r="A46" s="14"/>
      <c r="B46" s="14"/>
      <c r="C46" s="14"/>
      <c r="D46" s="14"/>
      <c r="E46" s="16" t="s">
        <v>33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</row>
    <row r="47" spans="1:19" x14ac:dyDescent="0.2">
      <c r="A47" s="14">
        <v>115.95</v>
      </c>
      <c r="B47" s="14">
        <v>2.81</v>
      </c>
      <c r="C47" s="14">
        <v>0</v>
      </c>
      <c r="D47" s="14"/>
      <c r="E47" s="14" t="s">
        <v>0</v>
      </c>
      <c r="F47" s="14" t="s">
        <v>1</v>
      </c>
      <c r="G47" s="14"/>
      <c r="H47" s="14">
        <f>A47*E48^4+2*(B47+2*C49)*E48^2*F48^2+B48*F48^4</f>
        <v>36.058616751665468</v>
      </c>
      <c r="I47" s="14">
        <f>(A47+B48-4*C49)*E48^2*F48^2+B47*(E48^4+F48^4)</f>
        <v>28.858892941016787</v>
      </c>
      <c r="J47" s="14">
        <f>(A47-B47-2*C49)*F48*E48^3+(B47-B48+2*C49)*F48^3*E48</f>
        <v>26.918967358703121</v>
      </c>
      <c r="K47" s="14"/>
      <c r="L47" s="14"/>
      <c r="M47" s="14"/>
      <c r="N47" s="14"/>
      <c r="O47" s="14"/>
      <c r="P47" s="14"/>
      <c r="Q47" s="14"/>
      <c r="R47" s="14"/>
    </row>
    <row r="48" spans="1:19" x14ac:dyDescent="0.2">
      <c r="A48" s="14">
        <v>2.81</v>
      </c>
      <c r="B48" s="14">
        <v>8.27</v>
      </c>
      <c r="C48" s="14">
        <v>0</v>
      </c>
      <c r="D48" s="14"/>
      <c r="E48" s="14">
        <v>0.70709999999999995</v>
      </c>
      <c r="F48" s="14">
        <v>0.70709999999999995</v>
      </c>
      <c r="G48" s="14"/>
      <c r="H48" s="14"/>
      <c r="I48" s="14">
        <f>A47*F48^4+2*(B47+2*C49)*E48^2*F48^2+B48*E48^4</f>
        <v>36.058616751665468</v>
      </c>
      <c r="J48" s="14">
        <f>(A47-B47-2*C49)*E48*F48^3+(B47-B48+2*C49)*E48^3*F48</f>
        <v>26.918967358703121</v>
      </c>
      <c r="K48" s="14"/>
      <c r="L48" s="14"/>
      <c r="M48" s="14"/>
      <c r="N48" s="14"/>
      <c r="O48" s="14"/>
      <c r="P48" s="14"/>
      <c r="Q48" s="14"/>
      <c r="R48" s="14"/>
    </row>
    <row r="49" spans="1:18" x14ac:dyDescent="0.2">
      <c r="A49" s="14">
        <v>0</v>
      </c>
      <c r="B49" s="14">
        <v>0</v>
      </c>
      <c r="C49" s="14">
        <v>3.6</v>
      </c>
      <c r="D49" s="14"/>
      <c r="E49" s="14"/>
      <c r="F49" s="14"/>
      <c r="G49" s="14"/>
      <c r="H49" s="14"/>
      <c r="I49" s="14"/>
      <c r="J49" s="14">
        <f>(A47+B48-2*B47-2*C49)*E48^2*F48^2+C49*(E48^4+F48^4)</f>
        <v>29.648862636907406</v>
      </c>
      <c r="K49" s="14"/>
      <c r="L49" s="14"/>
      <c r="M49" s="14"/>
      <c r="N49" s="14"/>
      <c r="O49" s="14"/>
      <c r="P49" s="14"/>
      <c r="Q49" s="14"/>
      <c r="R49" s="14"/>
    </row>
    <row r="50" spans="1:18" x14ac:dyDescent="0.2">
      <c r="A50" s="14"/>
      <c r="B50" s="14"/>
      <c r="C50" s="14"/>
      <c r="D50" s="14"/>
      <c r="E50" s="16" t="s">
        <v>32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</row>
    <row r="53" spans="1:18" x14ac:dyDescent="0.2">
      <c r="A53" s="1" t="s">
        <v>9</v>
      </c>
      <c r="O53" s="1" t="s">
        <v>11</v>
      </c>
      <c r="P53" s="1" t="s">
        <v>12</v>
      </c>
      <c r="Q53" s="3" t="s">
        <v>10</v>
      </c>
    </row>
    <row r="54" spans="1:18" x14ac:dyDescent="0.2">
      <c r="A54">
        <v>138.81</v>
      </c>
      <c r="B54">
        <v>2.7</v>
      </c>
      <c r="C54">
        <v>0</v>
      </c>
      <c r="E54" t="s">
        <v>0</v>
      </c>
      <c r="F54" t="s">
        <v>1</v>
      </c>
      <c r="H54">
        <f>A54*E55^4+2*(B54+2*C56)*E55^2*F55^2+B55*F55^4</f>
        <v>45.403258280903238</v>
      </c>
      <c r="I54">
        <f>(A54+B55-4*C56)*E55^2*F55^2+B54*(E55^4+F55^4)</f>
        <v>31.203802987679445</v>
      </c>
      <c r="J54">
        <f>(A54-B54-2*C56)*F55*E55^3+(B54-B55+2*C56)*F55^3*E55</f>
        <v>32.448755229937454</v>
      </c>
      <c r="L54" t="s">
        <v>7</v>
      </c>
      <c r="M54" t="s">
        <v>13</v>
      </c>
      <c r="O54">
        <f>(H54*(1*1.5^2+1^3/12)+H58*(1*0.5^2+1^3/12)+H58*(1*0.5^2+1^3/12)+H54*(1*1.5^2+1^3/12))</f>
        <v>242.15071083148393</v>
      </c>
      <c r="P54">
        <f>(I54*(1*1.5^2+1^3/12)+I58*(1*0.5^2+1^3/12)+I58*(1*0.5^2+1^3/12)+I54*(1*1.5^2+1^3/12))</f>
        <v>166.42028260095705</v>
      </c>
      <c r="Q54" s="4">
        <f>(J54*(1*1.5^2+1^3/12)+J58*(1*0.5^2+1^3/12)+J58*(1*0.5^2+1^3/12)+J54*(1*1.5^2+1^3/12))</f>
        <v>129.79502091974985</v>
      </c>
    </row>
    <row r="55" spans="1:18" x14ac:dyDescent="0.2">
      <c r="A55">
        <v>2.7</v>
      </c>
      <c r="B55">
        <v>9.01</v>
      </c>
      <c r="C55">
        <v>0</v>
      </c>
      <c r="E55">
        <v>0.70709999999999995</v>
      </c>
      <c r="F55">
        <v>0.70709999999999995</v>
      </c>
      <c r="I55">
        <f>A54*F55^4+2*(B54+2*C56)*E55^2*F55^2+B55*E55^4</f>
        <v>45.403258280903238</v>
      </c>
      <c r="J55">
        <f>(A54-B54-2*C56)*E55*F55^3+(B54-B55+2*C56)*E55^3*F55</f>
        <v>32.448755229937454</v>
      </c>
      <c r="Q55" s="2" t="s">
        <v>35</v>
      </c>
    </row>
    <row r="56" spans="1:18" x14ac:dyDescent="0.2">
      <c r="A56">
        <v>0</v>
      </c>
      <c r="B56">
        <v>0</v>
      </c>
      <c r="C56">
        <v>7.1</v>
      </c>
      <c r="J56">
        <f>(A54+B55-2*B54-2*C56)*E55^2*F55^2+C56*(E55^4+F55^4)</f>
        <v>35.603634205298093</v>
      </c>
      <c r="L56" t="s">
        <v>14</v>
      </c>
      <c r="M56" t="s">
        <v>15</v>
      </c>
      <c r="O56">
        <f>(H54*(0.5*1.75^2+0.5^3/12)+H58*(0.5*1.25^2+0.5^3/12)+H54*(0.5*0.75^2+0.5^3/12)+H58*(0.5*0.25^2+0.5^3/12))+(H58*(0.5*0.25^2+0.5^3/12)+H54*(0.5*0.75^2+0.5^3/12)+H58*(0.5*1.25^2+0.5^3/12)+H54*(0.5*1.75^2+0.5^3/12))</f>
        <v>242.15071083148393</v>
      </c>
      <c r="P56">
        <f>(I54*(0.5*1.75^2+0.5^3/12)+I58*(0.5*1.25^2+0.5^3/12)+I54*(0.5*0.75^2+0.5^3/12)+I58*(0.5*0.25^2+0.5^3/12))+(I58*(0.5*0.25^2+0.5^3/12)+I54*(0.5*0.75^2+0.5^3/12)+I58*(0.5*1.25^2+0.5^3/12)+I54*(0.5*1.75^2+0.5^3/12))</f>
        <v>166.42028260095705</v>
      </c>
      <c r="Q56" s="5">
        <f>(J54*(0.5*1.75^2+0.5^3/12)+J58*(0.5*1.25^2+0.5^3/12)+J54*(0.5*0.75^2+0.5^3/12)+J58*(0.5*0.25^2+0.5^3/12))+(J58*(0.5*0.25^2+0.5^3/12)+J54*(0.5*0.75^2+0.5^3/12)+J58*(0.5*1.25^2+0.5^3/12)+J54*(0.5*1.75^2+0.5^3/12))</f>
        <v>64.897510459874923</v>
      </c>
    </row>
    <row r="57" spans="1:18" x14ac:dyDescent="0.2">
      <c r="A57" s="1" t="s">
        <v>34</v>
      </c>
      <c r="E57" s="1" t="s">
        <v>2</v>
      </c>
      <c r="Q57" t="s">
        <v>35</v>
      </c>
    </row>
    <row r="58" spans="1:18" x14ac:dyDescent="0.2">
      <c r="A58">
        <v>138.81</v>
      </c>
      <c r="B58">
        <v>2.7</v>
      </c>
      <c r="C58">
        <v>0</v>
      </c>
      <c r="E58" t="s">
        <v>0</v>
      </c>
      <c r="F58" t="s">
        <v>1</v>
      </c>
      <c r="H58">
        <f>A58*E59^4+2*(B58+2*C60)*E59^2*F59^2+B59*F59^4</f>
        <v>45.403258280903238</v>
      </c>
      <c r="I58">
        <f>(A58+B59-4*C60)*E59^2*F59^2+B58*(E59^4+F59^4)</f>
        <v>31.203802987679445</v>
      </c>
      <c r="J58">
        <f>(A58-B58-2*C60)*F59*E59^3+(B58-B59+2*C60)*F59^3*E59</f>
        <v>-32.448755229937454</v>
      </c>
      <c r="L58" t="s">
        <v>6</v>
      </c>
      <c r="M58" t="s">
        <v>16</v>
      </c>
      <c r="O58">
        <f>(H54*(0.25*1.875^2+0.25^3/12)+H58*(0.25*1.625^2+0.25^3/12)+H54*(0.25*1.375^2+0.25^3/12)+H58*(0.25*1.125^2+0.25^3/12))+(H54*(0.25*0.875^2+0.25^3/12)+H58*(0.25*0.625^2+0.25^3/12)+H54*(0.25*0.375^2+0.25^3/12)+H58*(0.25*0.125^2+0.25^3/12))+(H58*(0.25*0.125^2+0.25^3/12)+H54*(0.25*0.375^2+0.25^3/12)+H58*(0.25*0.625^2+0.25^3/12)+H54*(0.25*0.875^2+0.25^3/12))+(H58*(0.25*1.125^2+0.25^3/12)+H54*(0.25*1.375^2+0.25^3/12)+H58*(0.25*1.625^2+0.25^3/12)+H54*(0.25*1.875^2+0.25^3/12))</f>
        <v>242.15071083148391</v>
      </c>
      <c r="P58">
        <f>(I54*(0.25*1.875^2+0.25^3/12)+I58*(0.25*1.625^2+0.25^3/12)+I54*(0.25*1.375^2+0.25^3/12)+I58*(0.25*1.125^2+0.25^3/12))+(I54*(0.25*0.875^2+0.25^3/12)+I58*(0.25*0.625^2+0.25^3/12)+I54*(0.25*0.375^2+0.25^3/12)+I58*(0.25*0.125^2+0.25^3/12))+(I58*(0.25*0.125^2+0.25^3/12)+I54*(0.25*0.375^2+0.25^3/12)+I58*(0.25*0.625^2+0.25^3/12)+I54*(0.25*0.875^2+0.25^3/12))+(I58*(0.25*1.125^2+0.25^3/12)+I54*(0.25*1.375^2+0.25^3/12)+I58*(0.25*1.625^2+0.25^3/12)+I54*(0.25*1.875^2+0.25^3/12))</f>
        <v>166.42028260095705</v>
      </c>
      <c r="Q58" s="5">
        <f>(J54*(0.25*1.875^2+0.25^3/12)+J58*(0.25*1.625^2+0.25^3/12)+J54*(0.25*1.375^2+0.25^3/12)+J58*(0.25*1.125^2+0.25^3/12))+(J54*(0.25*0.875^2+0.25^3/12)+J58*(0.25*0.625^2+0.25^3/12)+J54*(0.25*0.375^2+0.25^3/12)+J58*(0.25*0.125^2+0.25^3/12))+(J58*(0.25*0.125^2+0.25^3/12)+J54*(0.25*0.375^2+0.25^3/12)+J58*(0.25*0.625^2+0.25^3/12)+J54*(0.25*0.875^2+0.25^3/12))+(J58*(0.25*1.125^2+0.25^3/12)+J54*(0.25*1.375^2+0.25^3/12)+J58*(0.25*1.625^2+0.25^3/12)+J54*(0.25*1.875^2+0.25^3/12))</f>
        <v>32.448755229937461</v>
      </c>
    </row>
    <row r="59" spans="1:18" x14ac:dyDescent="0.2">
      <c r="A59">
        <v>2.7</v>
      </c>
      <c r="B59">
        <v>9.01</v>
      </c>
      <c r="C59">
        <v>0</v>
      </c>
      <c r="E59">
        <v>0.70709999999999995</v>
      </c>
      <c r="F59">
        <v>-0.70709999999999995</v>
      </c>
      <c r="I59">
        <f>A58*F59^4+2*(B58+2*C60)*E59^2*F59^2+B59*E59^4</f>
        <v>45.403258280903238</v>
      </c>
      <c r="J59">
        <f>(A58-B58-2*C60)*E59*F59^3+(B58-B59+2*C60)*E59^3*F59</f>
        <v>-32.448755229937454</v>
      </c>
      <c r="Q59" t="s">
        <v>35</v>
      </c>
    </row>
    <row r="60" spans="1:18" x14ac:dyDescent="0.2">
      <c r="A60">
        <v>0</v>
      </c>
      <c r="B60">
        <v>0</v>
      </c>
      <c r="C60">
        <v>7.1</v>
      </c>
      <c r="J60">
        <f>(A58+B59-2*B58-2*C60)*E59^2*F59^2+C60*(E59^4+F59^4)</f>
        <v>35.603634205298093</v>
      </c>
    </row>
    <row r="61" spans="1:18" x14ac:dyDescent="0.2">
      <c r="E61" s="1" t="s">
        <v>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Dear, John P</dc:creator>
  <cp:lastModifiedBy>Dear, John P</cp:lastModifiedBy>
  <dcterms:created xsi:type="dcterms:W3CDTF">2015-06-05T18:17:20Z</dcterms:created>
  <dcterms:modified xsi:type="dcterms:W3CDTF">2026-07-08T09:21:23Z</dcterms:modified>
</cp:coreProperties>
</file>